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ycharmProjects\Documation\kcc_document_single_borrower\"/>
    </mc:Choice>
  </mc:AlternateContent>
  <xr:revisionPtr revIDLastSave="0" documentId="13_ncr:1_{A2A7175A-34C5-464B-8BF3-3214869454E8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Office note" sheetId="2" r:id="rId1"/>
    <sheet name="MERGEFIELD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" l="1"/>
  <c r="U2" i="4"/>
  <c r="D12" i="2"/>
  <c r="T2" i="4" l="1"/>
  <c r="L2" i="4"/>
  <c r="O2" i="4" l="1"/>
  <c r="P2" i="4" a="1"/>
  <c r="P2" i="4" l="1"/>
  <c r="K2" i="4"/>
  <c r="D26" i="2"/>
  <c r="D28" i="2" s="1"/>
  <c r="R2" i="4"/>
  <c r="Q2" i="4"/>
  <c r="M2" i="4"/>
  <c r="D2" i="4" l="1"/>
  <c r="C2" i="4"/>
  <c r="J2" i="4" l="1"/>
  <c r="I2" i="4"/>
  <c r="H2" i="4"/>
  <c r="G2" i="4"/>
  <c r="F2" i="4"/>
  <c r="E2" i="4"/>
  <c r="S2" i="4" l="1"/>
  <c r="N2" i="4" l="1"/>
  <c r="B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<sst xmlns="http://schemas.openxmlformats.org/spreadsheetml/2006/main" count="63" uniqueCount="63">
  <si>
    <t>AADHAR NUMBER</t>
  </si>
  <si>
    <t>MOBILE NUMBER</t>
  </si>
  <si>
    <t>GENDER</t>
  </si>
  <si>
    <t>INDIAN OVERSEAS BANK</t>
  </si>
  <si>
    <t>borrower_name</t>
  </si>
  <si>
    <t>address_1</t>
  </si>
  <si>
    <t>address_2</t>
  </si>
  <si>
    <t>address_3</t>
  </si>
  <si>
    <t>address_4</t>
  </si>
  <si>
    <t>pin</t>
  </si>
  <si>
    <t>PAN CARD</t>
  </si>
  <si>
    <t>pan</t>
  </si>
  <si>
    <t>aadhaar</t>
  </si>
  <si>
    <t>mobile_number</t>
  </si>
  <si>
    <t>father_husband_name</t>
  </si>
  <si>
    <t>loan_amount</t>
  </si>
  <si>
    <t>spread</t>
  </si>
  <si>
    <t>amount_in_words</t>
  </si>
  <si>
    <t>total_interest_rate</t>
  </si>
  <si>
    <t>loan_date</t>
  </si>
  <si>
    <t xml:space="preserve">NAME                                  </t>
  </si>
  <si>
    <t xml:space="preserve">FATHER/SPOUSE NAME         </t>
  </si>
  <si>
    <t>SB ACCOUNT NUMBER</t>
  </si>
  <si>
    <t>LOAN AMOUNT APPLIED</t>
  </si>
  <si>
    <t>MONTHLY EMI</t>
  </si>
  <si>
    <t>MCLR</t>
  </si>
  <si>
    <t>EMI START DATE</t>
  </si>
  <si>
    <t>Repayment Period in months</t>
  </si>
  <si>
    <t>sb_column</t>
  </si>
  <si>
    <t>DATE OF BIRTH 
Age of the Applicant</t>
  </si>
  <si>
    <t>1 Year MCLR + Spread</t>
  </si>
  <si>
    <t>Rate of interest 
Present MCLR %
Spread %
Applicable Rate of Interest</t>
  </si>
  <si>
    <t>dob</t>
  </si>
  <si>
    <t>ADDRESS
PIN</t>
  </si>
  <si>
    <t>Date:</t>
  </si>
  <si>
    <t>cust_id</t>
  </si>
  <si>
    <t>Customer ID</t>
  </si>
  <si>
    <t>age_borrower</t>
  </si>
  <si>
    <t>AVALPOONDURAI BRANCH (2316)</t>
  </si>
  <si>
    <t>ACRES OF LAND</t>
  </si>
  <si>
    <t>RAINFED_ACRES</t>
  </si>
  <si>
    <t>IRRIGATED_ACRES</t>
  </si>
  <si>
    <t>SCALE_OF_FINANCE</t>
  </si>
  <si>
    <t>INSPECTION DONE BY</t>
  </si>
  <si>
    <t>INSPECTION DATE</t>
  </si>
  <si>
    <t>scale_of_finance</t>
  </si>
  <si>
    <t>Prashant</t>
  </si>
  <si>
    <t>CROP NAME</t>
  </si>
  <si>
    <t>SURVEY NO OF LAND</t>
  </si>
  <si>
    <t>Latitude of Land</t>
  </si>
  <si>
    <t>Longitude of Land</t>
  </si>
  <si>
    <t>Distance of the Field</t>
  </si>
  <si>
    <t>Tamil Nadu</t>
  </si>
  <si>
    <t>KCC MERGE FIELD FOR BORROWER</t>
  </si>
  <si>
    <t>Rathinasamy</t>
  </si>
  <si>
    <t>Devasthanapuram</t>
  </si>
  <si>
    <t>Kanagapuram Avalpoondurai</t>
  </si>
  <si>
    <t>Ganapathi K R M</t>
  </si>
  <si>
    <t>Male</t>
  </si>
  <si>
    <t>1 Thamaraipudhur</t>
  </si>
  <si>
    <t>7811 8722 1364</t>
  </si>
  <si>
    <t>AHSPG4230B</t>
  </si>
  <si>
    <t>Cocunut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</si>
</sst>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₹&quot;\ * #,##0.00_ ;_ &quot;₹&quot;\ * \-#,##0.00_ ;_ &quot;₹&quot;\ * &quot;-&quot;??_ ;_ @_ "/>
    <numFmt numFmtId="164" formatCode="[$-14009]dd\-mm\-yyyy;@"/>
    <numFmt numFmtId="165" formatCode="[$-14009]dd/mm/yyyy;@"/>
    <numFmt numFmtId="166" formatCode="[$-14009]dd\ mmmm\ yyyy;@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applyFont="1" applyAlignment="1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0" fontId="2" fillId="0" borderId="1" xfId="0" applyFont="1" applyBorder="1"/>
    <xf numFmtId="0" fontId="1" fillId="0" borderId="2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65" fontId="0" fillId="0" borderId="0" xfId="0" applyNumberFormat="1"/>
    <xf numFmtId="1" fontId="2" fillId="0" borderId="2" xfId="0" applyNumberFormat="1" applyFont="1" applyBorder="1" applyAlignment="1"/>
    <xf numFmtId="164" fontId="2" fillId="0" borderId="2" xfId="0" applyNumberFormat="1" applyFont="1" applyBorder="1" applyAlignment="1"/>
    <xf numFmtId="164" fontId="2" fillId="0" borderId="3" xfId="0" applyNumberFormat="1" applyFont="1" applyBorder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1" fontId="1" fillId="0" borderId="1" xfId="0" applyNumberFormat="1" applyFont="1" applyBorder="1" applyAlignment="1">
      <alignment horizontal="left"/>
    </xf>
    <xf numFmtId="1" fontId="1" fillId="0" borderId="2" xfId="0" applyNumberFormat="1" applyFont="1" applyBorder="1" applyAlignment="1">
      <alignment horizontal="left"/>
    </xf>
    <xf numFmtId="1" fontId="1" fillId="0" borderId="3" xfId="0" applyNumberFormat="1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1" fontId="1" fillId="0" borderId="1" xfId="0" quotePrefix="1" applyNumberFormat="1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2" fillId="0" borderId="4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4" xfId="0" applyFont="1" applyBorder="1" applyAlignment="1">
      <alignment horizontal="left" wrapText="1"/>
    </xf>
    <xf numFmtId="0" fontId="2" fillId="0" borderId="5" xfId="0" applyFont="1" applyBorder="1" applyAlignment="1">
      <alignment horizontal="left" wrapText="1"/>
    </xf>
    <xf numFmtId="0" fontId="2" fillId="0" borderId="6" xfId="0" applyFont="1" applyBorder="1" applyAlignment="1">
      <alignment horizontal="left" wrapText="1"/>
    </xf>
    <xf numFmtId="0" fontId="2" fillId="0" borderId="7" xfId="0" applyFont="1" applyBorder="1" applyAlignment="1">
      <alignment horizontal="left" wrapText="1"/>
    </xf>
    <xf numFmtId="0" fontId="2" fillId="0" borderId="8" xfId="0" applyFont="1" applyBorder="1" applyAlignment="1">
      <alignment horizontal="left" wrapText="1"/>
    </xf>
    <xf numFmtId="0" fontId="2" fillId="0" borderId="9" xfId="0" applyFont="1" applyBorder="1" applyAlignment="1">
      <alignment horizontal="left" wrapText="1"/>
    </xf>
    <xf numFmtId="165" fontId="1" fillId="0" borderId="1" xfId="0" applyNumberFormat="1" applyFont="1" applyBorder="1" applyAlignment="1">
      <alignment horizontal="left"/>
    </xf>
    <xf numFmtId="165" fontId="1" fillId="0" borderId="2" xfId="0" applyNumberFormat="1" applyFont="1" applyBorder="1" applyAlignment="1">
      <alignment horizontal="left"/>
    </xf>
    <xf numFmtId="165" fontId="1" fillId="0" borderId="3" xfId="0" applyNumberFormat="1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6" fontId="1" fillId="0" borderId="2" xfId="0" applyNumberFormat="1" applyFont="1" applyBorder="1" applyAlignment="1">
      <alignment horizontal="left"/>
    </xf>
    <xf numFmtId="0" fontId="1" fillId="0" borderId="0" xfId="0" applyFont="1" applyAlignment="1">
      <alignment horizontal="center"/>
    </xf>
    <xf numFmtId="44" fontId="2" fillId="0" borderId="12" xfId="0" applyNumberFormat="1" applyFont="1" applyBorder="1" applyAlignment="1">
      <alignment horizontal="left"/>
    </xf>
    <xf numFmtId="2" fontId="1" fillId="0" borderId="1" xfId="0" applyNumberFormat="1" applyFont="1" applyBorder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0" borderId="6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14" fontId="1" fillId="0" borderId="12" xfId="0" applyNumberFormat="1" applyFon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0" fontId="1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9"/>
  <sheetViews>
    <sheetView tabSelected="1" workbookViewId="0">
      <selection activeCell="D9" sqref="D9:I9"/>
    </sheetView>
  </sheetViews>
  <sheetFormatPr defaultRowHeight="13.5" x14ac:dyDescent="0.25"/>
  <cols>
    <col min="1" max="2" width="9.140625" style="1"/>
    <col min="3" max="3" width="9.140625" style="1" customWidth="1"/>
    <col min="4" max="4" width="9.140625" style="1"/>
    <col min="5" max="5" width="10.140625" style="1" customWidth="1"/>
    <col min="6" max="9" width="9.140625" style="1"/>
    <col min="10" max="10" width="9" style="1" customWidth="1"/>
    <col min="11" max="11" width="27.5703125" style="1" customWidth="1"/>
    <col min="12" max="16384" width="9.140625" style="1"/>
  </cols>
  <sheetData>
    <row r="1" spans="1:9" ht="15" customHeight="1" x14ac:dyDescent="0.25">
      <c r="C1" s="48" t="s">
        <v>3</v>
      </c>
      <c r="D1" s="48"/>
      <c r="E1" s="48"/>
      <c r="F1" s="48"/>
      <c r="G1" s="48"/>
    </row>
    <row r="2" spans="1:9" ht="15" customHeight="1" x14ac:dyDescent="0.25">
      <c r="C2" s="48" t="s">
        <v>38</v>
      </c>
      <c r="D2" s="48"/>
      <c r="E2" s="48"/>
      <c r="F2" s="48"/>
      <c r="G2" s="48"/>
    </row>
    <row r="3" spans="1:9" ht="15" customHeight="1" x14ac:dyDescent="0.25">
      <c r="B3" s="49" t="s">
        <v>53</v>
      </c>
      <c r="C3" s="49"/>
      <c r="D3" s="49"/>
      <c r="E3" s="49"/>
      <c r="F3" s="49"/>
      <c r="G3" s="49"/>
      <c r="H3" s="49"/>
    </row>
    <row r="5" spans="1:9" x14ac:dyDescent="0.25">
      <c r="A5" s="6" t="s">
        <v>34</v>
      </c>
      <c r="B5" s="50">
        <f ca="1">TODAY()</f>
        <v>44566</v>
      </c>
      <c r="C5" s="50"/>
      <c r="D5" s="50"/>
      <c r="E5" s="13"/>
      <c r="F5" s="7"/>
      <c r="G5" s="8"/>
      <c r="H5" s="14"/>
      <c r="I5" s="15"/>
    </row>
    <row r="7" spans="1:9" x14ac:dyDescent="0.25">
      <c r="A7" s="27" t="s">
        <v>20</v>
      </c>
      <c r="B7" s="28"/>
      <c r="C7" s="29"/>
      <c r="D7" s="18" t="s">
        <v>57</v>
      </c>
      <c r="E7" s="19"/>
      <c r="F7" s="19"/>
      <c r="G7" s="19"/>
      <c r="H7" s="19"/>
      <c r="I7" s="20"/>
    </row>
    <row r="8" spans="1:9" x14ac:dyDescent="0.25">
      <c r="A8" s="27" t="s">
        <v>21</v>
      </c>
      <c r="B8" s="28"/>
      <c r="C8" s="29"/>
      <c r="D8" s="18" t="s">
        <v>54</v>
      </c>
      <c r="E8" s="19"/>
      <c r="F8" s="19"/>
      <c r="G8" s="19"/>
      <c r="H8" s="19"/>
      <c r="I8" s="20"/>
    </row>
    <row r="9" spans="1:9" x14ac:dyDescent="0.25">
      <c r="A9" s="9" t="s">
        <v>22</v>
      </c>
      <c r="B9" s="10"/>
      <c r="C9" s="11"/>
      <c r="D9" s="30">
        <v>231601999999999</v>
      </c>
      <c r="E9" s="22"/>
      <c r="F9" s="22"/>
      <c r="G9" s="22"/>
      <c r="H9" s="22"/>
      <c r="I9" s="23"/>
    </row>
    <row r="10" spans="1:9" x14ac:dyDescent="0.25">
      <c r="A10" s="28" t="s">
        <v>36</v>
      </c>
      <c r="B10" s="28"/>
      <c r="C10" s="29"/>
      <c r="D10" s="21"/>
      <c r="E10" s="22"/>
      <c r="F10" s="22"/>
      <c r="G10" s="22"/>
      <c r="H10" s="22"/>
      <c r="I10" s="23"/>
    </row>
    <row r="11" spans="1:9" x14ac:dyDescent="0.25">
      <c r="A11" s="39" t="s">
        <v>29</v>
      </c>
      <c r="B11" s="40"/>
      <c r="C11" s="41"/>
      <c r="D11" s="45">
        <v>25878</v>
      </c>
      <c r="E11" s="46"/>
      <c r="F11" s="46"/>
      <c r="G11" s="46"/>
      <c r="H11" s="46"/>
      <c r="I11" s="47"/>
    </row>
    <row r="12" spans="1:9" x14ac:dyDescent="0.25">
      <c r="A12" s="42"/>
      <c r="B12" s="43"/>
      <c r="C12" s="44"/>
      <c r="D12" s="21">
        <f ca="1">DATEDIF(D11,TODAY(), "y")</f>
        <v>51</v>
      </c>
      <c r="E12" s="22"/>
      <c r="F12" s="22"/>
      <c r="G12" s="22"/>
      <c r="H12" s="22"/>
      <c r="I12" s="23"/>
    </row>
    <row r="13" spans="1:9" x14ac:dyDescent="0.25">
      <c r="A13" s="27" t="s">
        <v>2</v>
      </c>
      <c r="B13" s="28"/>
      <c r="C13" s="29"/>
      <c r="D13" s="24" t="s">
        <v>58</v>
      </c>
      <c r="E13" s="25"/>
      <c r="F13" s="25"/>
      <c r="G13" s="25"/>
      <c r="H13" s="25"/>
      <c r="I13" s="26"/>
    </row>
    <row r="14" spans="1:9" x14ac:dyDescent="0.25">
      <c r="A14" s="33" t="s">
        <v>33</v>
      </c>
      <c r="B14" s="34"/>
      <c r="C14" s="35"/>
      <c r="D14" s="25" t="s">
        <v>59</v>
      </c>
      <c r="E14" s="25"/>
      <c r="F14" s="25"/>
      <c r="G14" s="25"/>
      <c r="H14" s="25"/>
      <c r="I14" s="26"/>
    </row>
    <row r="15" spans="1:9" x14ac:dyDescent="0.25">
      <c r="A15" s="36"/>
      <c r="B15" s="37"/>
      <c r="C15" s="38"/>
      <c r="D15" s="31" t="s">
        <v>55</v>
      </c>
      <c r="E15" s="31"/>
      <c r="F15" s="31"/>
      <c r="G15" s="31"/>
      <c r="H15" s="31"/>
      <c r="I15" s="32"/>
    </row>
    <row r="16" spans="1:9" x14ac:dyDescent="0.25">
      <c r="A16" s="36"/>
      <c r="B16" s="37"/>
      <c r="C16" s="38"/>
      <c r="D16" s="31" t="s">
        <v>56</v>
      </c>
      <c r="E16" s="31"/>
      <c r="F16" s="31"/>
      <c r="G16" s="31"/>
      <c r="H16" s="31"/>
      <c r="I16" s="32"/>
    </row>
    <row r="17" spans="1:9" x14ac:dyDescent="0.25">
      <c r="A17" s="36"/>
      <c r="B17" s="37"/>
      <c r="C17" s="38"/>
      <c r="D17" s="31" t="s">
        <v>52</v>
      </c>
      <c r="E17" s="31"/>
      <c r="F17" s="31"/>
      <c r="G17" s="31"/>
      <c r="H17" s="31"/>
      <c r="I17" s="32"/>
    </row>
    <row r="18" spans="1:9" x14ac:dyDescent="0.25">
      <c r="A18" s="36"/>
      <c r="B18" s="37"/>
      <c r="C18" s="38"/>
      <c r="D18" s="31">
        <v>638115</v>
      </c>
      <c r="E18" s="31"/>
      <c r="F18" s="31"/>
      <c r="G18" s="31"/>
      <c r="H18" s="31"/>
      <c r="I18" s="32"/>
    </row>
    <row r="19" spans="1:9" x14ac:dyDescent="0.25">
      <c r="A19" s="27" t="s">
        <v>1</v>
      </c>
      <c r="B19" s="28"/>
      <c r="C19" s="29"/>
      <c r="D19" s="18"/>
      <c r="E19" s="19"/>
      <c r="F19" s="19"/>
      <c r="G19" s="19"/>
      <c r="H19" s="19"/>
      <c r="I19" s="20"/>
    </row>
    <row r="20" spans="1:9" x14ac:dyDescent="0.25">
      <c r="A20" s="27" t="s">
        <v>0</v>
      </c>
      <c r="B20" s="28"/>
      <c r="C20" s="29"/>
      <c r="D20" s="21" t="s">
        <v>60</v>
      </c>
      <c r="E20" s="22"/>
      <c r="F20" s="22"/>
      <c r="G20" s="22"/>
      <c r="H20" s="22"/>
      <c r="I20" s="23"/>
    </row>
    <row r="21" spans="1:9" x14ac:dyDescent="0.25">
      <c r="A21" s="27" t="s">
        <v>10</v>
      </c>
      <c r="B21" s="28"/>
      <c r="C21" s="29"/>
      <c r="D21" s="21" t="s">
        <v>61</v>
      </c>
      <c r="E21" s="22"/>
      <c r="F21" s="22"/>
      <c r="G21" s="22"/>
      <c r="H21" s="22"/>
      <c r="I21" s="23"/>
    </row>
    <row r="22" spans="1:9" x14ac:dyDescent="0.25">
      <c r="A22" s="27" t="s">
        <v>23</v>
      </c>
      <c r="B22" s="28"/>
      <c r="C22" s="29"/>
      <c r="D22" s="53">
        <v>120000</v>
      </c>
      <c r="E22" s="54"/>
      <c r="F22" s="54"/>
      <c r="G22" s="54"/>
      <c r="H22" s="54"/>
      <c r="I22" s="55"/>
    </row>
    <row r="23" spans="1:9" ht="13.5" customHeight="1" x14ac:dyDescent="0.25">
      <c r="A23" s="33" t="s">
        <v>31</v>
      </c>
      <c r="B23" s="59"/>
      <c r="C23" s="60"/>
      <c r="D23" s="21" t="s">
        <v>30</v>
      </c>
      <c r="E23" s="22"/>
      <c r="F23" s="22"/>
      <c r="G23" s="22"/>
      <c r="H23" s="22"/>
      <c r="I23" s="23"/>
    </row>
    <row r="24" spans="1:9" x14ac:dyDescent="0.25">
      <c r="A24" s="61"/>
      <c r="B24" s="62"/>
      <c r="C24" s="63"/>
      <c r="D24" s="53">
        <v>7.45</v>
      </c>
      <c r="E24" s="54"/>
      <c r="F24" s="54"/>
      <c r="G24" s="54"/>
      <c r="H24" s="54"/>
      <c r="I24" s="55"/>
    </row>
    <row r="25" spans="1:9" x14ac:dyDescent="0.25">
      <c r="A25" s="61"/>
      <c r="B25" s="62"/>
      <c r="C25" s="63"/>
      <c r="D25" s="53">
        <v>0.9</v>
      </c>
      <c r="E25" s="54"/>
      <c r="F25" s="54"/>
      <c r="G25" s="54"/>
      <c r="H25" s="54"/>
      <c r="I25" s="55"/>
    </row>
    <row r="26" spans="1:9" x14ac:dyDescent="0.25">
      <c r="A26" s="64"/>
      <c r="B26" s="65"/>
      <c r="C26" s="66"/>
      <c r="D26" s="53">
        <f>SUM(D24:I25)</f>
        <v>8.35</v>
      </c>
      <c r="E26" s="54"/>
      <c r="F26" s="54"/>
      <c r="G26" s="54"/>
      <c r="H26" s="54"/>
      <c r="I26" s="55"/>
    </row>
    <row r="27" spans="1:9" x14ac:dyDescent="0.25">
      <c r="A27" s="56" t="s">
        <v>27</v>
      </c>
      <c r="B27" s="57"/>
      <c r="C27" s="58"/>
      <c r="D27" s="21">
        <v>36</v>
      </c>
      <c r="E27" s="22"/>
      <c r="F27" s="22"/>
      <c r="G27" s="22"/>
      <c r="H27" s="22"/>
      <c r="I27" s="23"/>
    </row>
    <row r="28" spans="1:9" x14ac:dyDescent="0.25">
      <c r="A28" s="56" t="s">
        <v>24</v>
      </c>
      <c r="B28" s="57"/>
      <c r="C28" s="58"/>
      <c r="D28" s="53">
        <f>ROUND(PMT(D26/12/100,D27,-D22), 0)</f>
        <v>3780</v>
      </c>
      <c r="E28" s="54"/>
      <c r="F28" s="54"/>
      <c r="G28" s="54"/>
      <c r="H28" s="54"/>
      <c r="I28" s="55"/>
    </row>
    <row r="29" spans="1:9" x14ac:dyDescent="0.25">
      <c r="A29" s="56" t="s">
        <v>26</v>
      </c>
      <c r="B29" s="57"/>
      <c r="C29" s="58"/>
      <c r="D29" s="45">
        <v>44058</v>
      </c>
      <c r="E29" s="46"/>
      <c r="F29" s="46"/>
      <c r="G29" s="46"/>
      <c r="H29" s="46"/>
      <c r="I29" s="47"/>
    </row>
    <row r="30" spans="1:9" x14ac:dyDescent="0.25">
      <c r="A30" s="27" t="s">
        <v>47</v>
      </c>
      <c r="B30" s="28"/>
      <c r="C30" s="29"/>
      <c r="D30" s="18" t="s">
        <v>62</v>
      </c>
      <c r="E30" s="19"/>
      <c r="F30" s="19"/>
      <c r="G30" s="19"/>
      <c r="H30" s="19"/>
      <c r="I30" s="20"/>
    </row>
    <row r="31" spans="1:9" x14ac:dyDescent="0.25">
      <c r="A31" s="27" t="s">
        <v>48</v>
      </c>
      <c r="B31" s="28"/>
      <c r="C31" s="29"/>
      <c r="D31" s="18">
        <v>1452</v>
      </c>
      <c r="E31" s="19"/>
      <c r="F31" s="19"/>
      <c r="G31" s="19"/>
      <c r="H31" s="19"/>
      <c r="I31" s="20"/>
    </row>
    <row r="32" spans="1:9" x14ac:dyDescent="0.25">
      <c r="A32" s="67" t="s">
        <v>39</v>
      </c>
      <c r="B32" s="67"/>
      <c r="C32" s="67"/>
      <c r="D32" s="68">
        <v>4</v>
      </c>
      <c r="E32" s="68"/>
      <c r="F32" s="68"/>
      <c r="G32" s="68"/>
      <c r="H32" s="68"/>
      <c r="I32" s="68"/>
    </row>
    <row r="33" spans="1:9" x14ac:dyDescent="0.25">
      <c r="A33" s="52" t="s">
        <v>40</v>
      </c>
      <c r="B33" s="52"/>
      <c r="C33" s="52"/>
      <c r="D33" s="68">
        <v>0</v>
      </c>
      <c r="E33" s="68"/>
      <c r="F33" s="68"/>
      <c r="G33" s="68"/>
      <c r="H33" s="68"/>
      <c r="I33" s="68"/>
    </row>
    <row r="34" spans="1:9" x14ac:dyDescent="0.25">
      <c r="A34" s="67" t="s">
        <v>41</v>
      </c>
      <c r="B34" s="67"/>
      <c r="C34" s="67"/>
      <c r="D34" s="68">
        <v>4</v>
      </c>
      <c r="E34" s="68"/>
      <c r="F34" s="68"/>
      <c r="G34" s="68"/>
      <c r="H34" s="68"/>
      <c r="I34" s="68"/>
    </row>
    <row r="35" spans="1:9" x14ac:dyDescent="0.25">
      <c r="A35" s="67" t="s">
        <v>42</v>
      </c>
      <c r="B35" s="67"/>
      <c r="C35" s="67"/>
      <c r="D35" s="68">
        <v>35000</v>
      </c>
      <c r="E35" s="68"/>
      <c r="F35" s="68"/>
      <c r="G35" s="68"/>
      <c r="H35" s="68"/>
      <c r="I35" s="68"/>
    </row>
    <row r="36" spans="1:9" x14ac:dyDescent="0.25">
      <c r="A36" s="67" t="s">
        <v>43</v>
      </c>
      <c r="B36" s="67"/>
      <c r="C36" s="67"/>
      <c r="D36" s="68" t="s">
        <v>46</v>
      </c>
      <c r="E36" s="68"/>
      <c r="F36" s="68"/>
      <c r="G36" s="68"/>
      <c r="H36" s="68"/>
      <c r="I36" s="68"/>
    </row>
    <row r="37" spans="1:9" x14ac:dyDescent="0.25">
      <c r="A37" s="67" t="s">
        <v>44</v>
      </c>
      <c r="B37" s="67"/>
      <c r="C37" s="67"/>
      <c r="D37" s="69">
        <v>44553</v>
      </c>
      <c r="E37" s="68"/>
      <c r="F37" s="68"/>
      <c r="G37" s="68"/>
      <c r="H37" s="68"/>
      <c r="I37" s="68"/>
    </row>
    <row r="38" spans="1:9" x14ac:dyDescent="0.25">
      <c r="A38" s="67" t="s">
        <v>49</v>
      </c>
      <c r="B38" s="67"/>
      <c r="C38" s="67"/>
      <c r="D38" s="70"/>
      <c r="E38" s="70"/>
      <c r="F38" s="70"/>
      <c r="G38" s="70"/>
      <c r="H38" s="70"/>
      <c r="I38" s="70"/>
    </row>
    <row r="39" spans="1:9" x14ac:dyDescent="0.25">
      <c r="A39" s="67" t="s">
        <v>50</v>
      </c>
      <c r="B39" s="67"/>
      <c r="C39" s="67"/>
      <c r="D39" s="70"/>
      <c r="E39" s="70"/>
      <c r="F39" s="70"/>
      <c r="G39" s="70"/>
      <c r="H39" s="70"/>
      <c r="I39" s="70"/>
    </row>
    <row r="40" spans="1:9" x14ac:dyDescent="0.25">
      <c r="A40" s="71" t="s">
        <v>51</v>
      </c>
      <c r="B40" s="71"/>
      <c r="C40" s="71"/>
      <c r="D40" s="72"/>
      <c r="E40" s="72"/>
      <c r="F40" s="72"/>
      <c r="G40" s="72"/>
      <c r="H40" s="72"/>
      <c r="I40" s="72"/>
    </row>
    <row r="41" spans="1:9" x14ac:dyDescent="0.25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25">
      <c r="A42" s="17"/>
      <c r="B42" s="17"/>
      <c r="C42" s="17"/>
      <c r="D42" s="17"/>
      <c r="E42" s="17"/>
      <c r="F42" s="17"/>
      <c r="G42" s="17"/>
      <c r="H42" s="17"/>
      <c r="I42" s="17"/>
    </row>
    <row r="43" spans="1:9" x14ac:dyDescent="0.25">
      <c r="A43" s="17"/>
      <c r="B43" s="17"/>
      <c r="C43" s="17"/>
      <c r="D43" s="17"/>
      <c r="E43" s="17"/>
      <c r="F43" s="17"/>
      <c r="G43" s="17"/>
      <c r="H43" s="17"/>
      <c r="I43" s="17"/>
    </row>
    <row r="44" spans="1:9" x14ac:dyDescent="0.25">
      <c r="A44" s="17"/>
      <c r="B44" s="17"/>
      <c r="C44" s="17"/>
      <c r="D44" s="17"/>
      <c r="E44" s="17"/>
      <c r="F44" s="17"/>
      <c r="G44" s="17"/>
      <c r="H44" s="17"/>
      <c r="I44" s="17"/>
    </row>
    <row r="45" spans="1:9" x14ac:dyDescent="0.25">
      <c r="A45" s="51"/>
      <c r="B45" s="51"/>
      <c r="C45" s="51"/>
      <c r="D45" s="51"/>
      <c r="E45" s="51"/>
      <c r="F45" s="51"/>
      <c r="G45" s="51"/>
      <c r="H45" s="51"/>
      <c r="I45" s="51"/>
    </row>
    <row r="46" spans="1:9" x14ac:dyDescent="0.25">
      <c r="A46" s="16"/>
      <c r="B46" s="16"/>
      <c r="C46" s="16"/>
      <c r="D46" s="16"/>
      <c r="E46" s="16"/>
      <c r="F46" s="16"/>
      <c r="G46" s="16"/>
      <c r="H46" s="16"/>
      <c r="I46" s="16"/>
    </row>
    <row r="47" spans="1:9" x14ac:dyDescent="0.25">
      <c r="A47" s="16"/>
      <c r="B47" s="16"/>
      <c r="C47" s="16"/>
      <c r="D47" s="16"/>
      <c r="E47" s="16"/>
      <c r="F47" s="16"/>
      <c r="G47" s="16"/>
      <c r="H47" s="16"/>
      <c r="I47" s="16"/>
    </row>
    <row r="48" spans="1:9" x14ac:dyDescent="0.25">
      <c r="A48" s="51"/>
      <c r="B48" s="51"/>
      <c r="C48" s="51"/>
      <c r="D48" s="51"/>
      <c r="E48" s="51"/>
      <c r="F48" s="51"/>
      <c r="G48" s="51"/>
      <c r="H48" s="51"/>
      <c r="I48" s="51"/>
    </row>
    <row r="49" spans="1:7" x14ac:dyDescent="0.25">
      <c r="A49" s="2"/>
      <c r="B49" s="2"/>
      <c r="F49" s="2"/>
      <c r="G49" s="2"/>
    </row>
  </sheetData>
  <mergeCells count="65">
    <mergeCell ref="A39:C39"/>
    <mergeCell ref="D39:I39"/>
    <mergeCell ref="A40:C40"/>
    <mergeCell ref="D40:I40"/>
    <mergeCell ref="A38:C38"/>
    <mergeCell ref="D38:I38"/>
    <mergeCell ref="A30:C30"/>
    <mergeCell ref="D30:I30"/>
    <mergeCell ref="A31:C31"/>
    <mergeCell ref="D31:I31"/>
    <mergeCell ref="A35:C35"/>
    <mergeCell ref="D35:I35"/>
    <mergeCell ref="A36:C36"/>
    <mergeCell ref="D36:I36"/>
    <mergeCell ref="A37:C37"/>
    <mergeCell ref="D37:I37"/>
    <mergeCell ref="A32:C32"/>
    <mergeCell ref="D32:I32"/>
    <mergeCell ref="D33:I33"/>
    <mergeCell ref="A34:C34"/>
    <mergeCell ref="D34:I34"/>
    <mergeCell ref="D25:I25"/>
    <mergeCell ref="D26:I26"/>
    <mergeCell ref="A27:C27"/>
    <mergeCell ref="D27:I27"/>
    <mergeCell ref="A28:C28"/>
    <mergeCell ref="D28:I28"/>
    <mergeCell ref="A13:C13"/>
    <mergeCell ref="D14:I14"/>
    <mergeCell ref="A48:I48"/>
    <mergeCell ref="A33:C33"/>
    <mergeCell ref="A45:I45"/>
    <mergeCell ref="A22:C22"/>
    <mergeCell ref="D22:I22"/>
    <mergeCell ref="A20:C20"/>
    <mergeCell ref="A21:C21"/>
    <mergeCell ref="D20:I20"/>
    <mergeCell ref="D21:I21"/>
    <mergeCell ref="D23:I23"/>
    <mergeCell ref="A29:C29"/>
    <mergeCell ref="D29:I29"/>
    <mergeCell ref="D24:I24"/>
    <mergeCell ref="A23:C26"/>
    <mergeCell ref="C1:G1"/>
    <mergeCell ref="C2:G2"/>
    <mergeCell ref="A7:C7"/>
    <mergeCell ref="D7:I7"/>
    <mergeCell ref="B3:H3"/>
    <mergeCell ref="B5:D5"/>
    <mergeCell ref="D8:I8"/>
    <mergeCell ref="D12:I12"/>
    <mergeCell ref="D13:I13"/>
    <mergeCell ref="A8:C8"/>
    <mergeCell ref="D19:I19"/>
    <mergeCell ref="D9:I9"/>
    <mergeCell ref="D15:I15"/>
    <mergeCell ref="D16:I16"/>
    <mergeCell ref="D17:I17"/>
    <mergeCell ref="D18:I18"/>
    <mergeCell ref="A14:C18"/>
    <mergeCell ref="A11:C12"/>
    <mergeCell ref="A10:C10"/>
    <mergeCell ref="D10:I10"/>
    <mergeCell ref="D11:I11"/>
    <mergeCell ref="A19:C19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701E-6CF2-47E9-A495-D4EA7710191A}">
  <sheetPr codeName="Sheet3"/>
  <dimension ref="A1:AO2"/>
  <sheetViews>
    <sheetView topLeftCell="J1" workbookViewId="0">
      <selection activeCell="P3" sqref="P3"/>
    </sheetView>
  </sheetViews>
  <sheetFormatPr defaultRowHeight="15" x14ac:dyDescent="0.25"/>
  <cols>
    <col min="2" max="2" width="27.140625" bestFit="1" customWidth="1"/>
    <col min="3" max="3" width="20.42578125" customWidth="1"/>
    <col min="4" max="4" width="20.42578125" style="3" customWidth="1"/>
    <col min="5" max="5" width="18.28515625" customWidth="1"/>
    <col min="6" max="6" width="22" bestFit="1" customWidth="1"/>
    <col min="7" max="7" width="18.140625" customWidth="1"/>
    <col min="8" max="8" width="14.5703125" customWidth="1"/>
    <col min="9" max="9" width="9.7109375" customWidth="1"/>
    <col min="10" max="10" width="14.7109375" customWidth="1"/>
    <col min="11" max="13" width="18.42578125" customWidth="1"/>
    <col min="14" max="14" width="16.140625" customWidth="1"/>
    <col min="15" max="15" width="12.7109375" style="4" bestFit="1" customWidth="1"/>
    <col min="16" max="16" width="32.140625" bestFit="1" customWidth="1"/>
    <col min="19" max="19" width="18" bestFit="1" customWidth="1"/>
    <col min="20" max="20" width="18.42578125" customWidth="1"/>
    <col min="21" max="21" width="21.85546875" bestFit="1" customWidth="1"/>
    <col min="22" max="25" width="18.85546875" customWidth="1"/>
    <col min="26" max="26" width="12" bestFit="1" customWidth="1"/>
    <col min="27" max="27" width="13.140625" bestFit="1" customWidth="1"/>
    <col min="28" max="28" width="11" bestFit="1" customWidth="1"/>
    <col min="29" max="29" width="16.42578125" bestFit="1" customWidth="1"/>
    <col min="30" max="30" width="22" bestFit="1" customWidth="1"/>
    <col min="31" max="31" width="14" bestFit="1" customWidth="1"/>
    <col min="32" max="32" width="24" bestFit="1" customWidth="1"/>
    <col min="34" max="35" width="18.5703125" customWidth="1"/>
    <col min="36" max="36" width="22.28515625" bestFit="1" customWidth="1"/>
    <col min="37" max="37" width="26.85546875" customWidth="1"/>
    <col min="38" max="39" width="27.42578125" customWidth="1"/>
    <col min="40" max="40" width="18.5703125" customWidth="1"/>
    <col min="41" max="41" width="27.85546875" customWidth="1"/>
    <col min="42" max="42" width="15.85546875" bestFit="1" customWidth="1"/>
    <col min="43" max="43" width="17.5703125" bestFit="1" customWidth="1"/>
    <col min="44" max="44" width="37.28515625" bestFit="1" customWidth="1"/>
  </cols>
  <sheetData>
    <row r="1" spans="1:41" x14ac:dyDescent="0.25">
      <c r="A1" t="s">
        <v>35</v>
      </c>
      <c r="B1" t="s">
        <v>4</v>
      </c>
      <c r="C1" t="s">
        <v>14</v>
      </c>
      <c r="D1" s="3" t="s">
        <v>28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11</v>
      </c>
      <c r="K1" t="s">
        <v>12</v>
      </c>
      <c r="L1" t="s">
        <v>32</v>
      </c>
      <c r="M1" t="s">
        <v>37</v>
      </c>
      <c r="N1" t="s">
        <v>13</v>
      </c>
      <c r="O1" s="4" t="s">
        <v>15</v>
      </c>
      <c r="P1" t="s">
        <v>17</v>
      </c>
      <c r="Q1" t="s">
        <v>25</v>
      </c>
      <c r="R1" t="s">
        <v>16</v>
      </c>
      <c r="S1" t="s">
        <v>18</v>
      </c>
      <c r="T1" t="s">
        <v>19</v>
      </c>
      <c r="U1" t="s">
        <v>45</v>
      </c>
    </row>
    <row r="2" spans="1:41" x14ac:dyDescent="0.25">
      <c r="B2" t="str">
        <f>'Office note'!D7</f>
        <v>Ganapathi K R M</v>
      </c>
      <c r="C2" t="str">
        <f>'Office note'!D8</f>
        <v>Rathinasamy</v>
      </c>
      <c r="D2" s="3">
        <f>'Office note'!D9</f>
        <v>231601999999999</v>
      </c>
      <c r="E2" t="str">
        <f>'Office note'!D14</f>
        <v>1 Thamaraipudhur</v>
      </c>
      <c r="F2" t="str">
        <f>'Office note'!D15</f>
        <v>Devasthanapuram</v>
      </c>
      <c r="G2" t="str">
        <f>'Office note'!D16</f>
        <v>Kanagapuram Avalpoondurai</v>
      </c>
      <c r="H2" t="str">
        <f>'Office note'!D17</f>
        <v>Tamil Nadu</v>
      </c>
      <c r="I2">
        <f>'Office note'!D18</f>
        <v>638115</v>
      </c>
      <c r="J2" s="3" t="str">
        <f>'Office note'!D21</f>
        <v>AHSPG4230B</v>
      </c>
      <c r="K2" s="3" t="str">
        <f>'Office note'!D20</f>
        <v>7811 8722 1364</v>
      </c>
      <c r="L2" s="12">
        <f>'Office note'!D11</f>
        <v>25878</v>
      </c>
      <c r="M2" s="3">
        <f ca="1">'Office note'!D12</f>
        <v>51</v>
      </c>
      <c r="N2">
        <f>'Office note'!D19</f>
        <v>0</v>
      </c>
      <c r="O2" s="4">
        <f>'Office note'!D22</f>
        <v>120000</v>
      </c>
      <c r="P2" t="str" cm="1">
        <f t="array" ref="P2">SpellIndian(O2)</f>
        <v>Rupees One Lac Twenty  Thousand  Only</v>
      </c>
      <c r="Q2" s="4">
        <f>'Office note'!D24</f>
        <v>7.45</v>
      </c>
      <c r="R2" s="4">
        <f>'Office note'!D25</f>
        <v>0.9</v>
      </c>
      <c r="S2">
        <f>Q2+R2</f>
        <v>8.35</v>
      </c>
      <c r="T2" s="5">
        <f ca="1">'Office note'!B5</f>
        <v>44566</v>
      </c>
      <c r="U2" s="3">
        <f>'Office note'!D35</f>
        <v>35000</v>
      </c>
      <c r="V2" s="3"/>
      <c r="W2" s="12"/>
      <c r="X2" s="3"/>
      <c r="Y2" s="3"/>
      <c r="Z2" s="3"/>
      <c r="AA2" s="3"/>
      <c r="AB2" s="3"/>
      <c r="AO2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Office note</vt:lpstr>
      <vt:lpstr>MERGEFIELDS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59498</dc:creator>
  <cp:lastModifiedBy>Windows User</cp:lastModifiedBy>
  <cp:lastPrinted>2020-06-05T08:47:41Z</cp:lastPrinted>
  <dcterms:created xsi:type="dcterms:W3CDTF">2019-03-12T10:05:29Z</dcterms:created>
  <dcterms:modified xsi:type="dcterms:W3CDTF">2022-01-05T06:40:29Z</dcterms:modified>
</cp:coreProperties>
</file>